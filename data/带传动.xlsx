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ZQ\Desktop\Learning\大三\大三上\机构方案设计实验报告\实验8\"/>
    </mc:Choice>
  </mc:AlternateContent>
  <xr:revisionPtr revIDLastSave="0" documentId="13_ncr:1_{0EE943FF-FC8C-459A-B169-FCD044ECBC6E}" xr6:coauthVersionLast="47" xr6:coauthVersionMax="47" xr10:uidLastSave="{00000000-0000-0000-0000-000000000000}"/>
  <bookViews>
    <workbookView xWindow="-110" yWindow="-110" windowWidth="25820" windowHeight="14620" xr2:uid="{684D1315-0B75-41CC-AAFD-0AA130218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F3" i="1" s="1"/>
  <c r="D5" i="1"/>
  <c r="D7" i="1"/>
  <c r="F4" i="1"/>
  <c r="F5" i="1"/>
  <c r="F6" i="1"/>
  <c r="F7" i="1"/>
  <c r="F8" i="1"/>
  <c r="F9" i="1"/>
  <c r="F2" i="1"/>
  <c r="G4" i="1"/>
  <c r="G5" i="1"/>
  <c r="G6" i="1"/>
  <c r="G7" i="1"/>
  <c r="G8" i="1"/>
  <c r="G9" i="1"/>
  <c r="G3" i="1"/>
  <c r="G2" i="1"/>
  <c r="E4" i="1"/>
  <c r="E5" i="1"/>
  <c r="E6" i="1"/>
  <c r="E7" i="1"/>
  <c r="E8" i="1"/>
  <c r="E9" i="1"/>
  <c r="E3" i="1"/>
  <c r="E2" i="1"/>
  <c r="D4" i="1"/>
  <c r="D6" i="1"/>
  <c r="D8" i="1"/>
  <c r="D9" i="1"/>
  <c r="D2" i="1"/>
</calcChain>
</file>

<file path=xl/sharedStrings.xml><?xml version="1.0" encoding="utf-8"?>
<sst xmlns="http://schemas.openxmlformats.org/spreadsheetml/2006/main" count="10" uniqueCount="10">
  <si>
    <t>序号</t>
    <phoneticPr fontId="1" type="noConversion"/>
  </si>
  <si>
    <t>n1(r/m)</t>
    <phoneticPr fontId="1" type="noConversion"/>
  </si>
  <si>
    <r>
      <t>T1(N</t>
    </r>
    <r>
      <rPr>
        <sz val="11"/>
        <color theme="1"/>
        <rFont val="等线"/>
        <family val="3"/>
        <charset val="134"/>
      </rPr>
      <t>·</t>
    </r>
    <r>
      <rPr>
        <sz val="11"/>
        <color theme="1"/>
        <rFont val="等线"/>
        <family val="2"/>
        <charset val="134"/>
        <scheme val="minor"/>
      </rPr>
      <t>mm)</t>
    </r>
    <phoneticPr fontId="1" type="noConversion"/>
  </si>
  <si>
    <t>T2(N·mm)</t>
    <phoneticPr fontId="1" type="noConversion"/>
  </si>
  <si>
    <t>η(%)</t>
    <phoneticPr fontId="1" type="noConversion"/>
  </si>
  <si>
    <t>ε(%)</t>
    <phoneticPr fontId="1" type="noConversion"/>
  </si>
  <si>
    <t>L(mm)</t>
    <phoneticPr fontId="1" type="noConversion"/>
  </si>
  <si>
    <t>F1(N)</t>
    <phoneticPr fontId="1" type="noConversion"/>
  </si>
  <si>
    <t>F2(N)</t>
    <phoneticPr fontId="1" type="noConversion"/>
  </si>
  <si>
    <t>n2(r/m)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</si>
</sst>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E300-F09A-4D86-B403-1FB0EA634906}">
  <dimension ref="A1:J9"/>
  <sheetViews>
    <sheetView tabSelected="1" workbookViewId="0">
      <selection activeCell="D2" sqref="D2"/>
    </sheetView>
  </sheetViews>
  <sheetFormatPr defaultRowHeight="14" x14ac:dyDescent="0.3"/>
  <sheetData>
    <row r="1" spans="1:10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s="1">
        <v>1</v>
      </c>
      <c r="B2" s="1">
        <v>1107</v>
      </c>
      <c r="C2" s="1">
        <v>1107</v>
      </c>
      <c r="D2" s="1">
        <f>I2*H2</f>
        <v>91.2</v>
      </c>
      <c r="E2" s="1">
        <f>H2*J2</f>
        <v>31.200000000000003</v>
      </c>
      <c r="F2" s="3">
        <f>(E2*C2)/(D2*B2)</f>
        <v>0.34210526315789475</v>
      </c>
      <c r="G2" s="3">
        <f>(B2-C2)/B2</f>
        <v>0</v>
      </c>
      <c r="H2" s="1">
        <v>60</v>
      </c>
      <c r="I2" s="1">
        <v>1.52</v>
      </c>
      <c r="J2" s="1">
        <v>0.52</v>
      </c>
    </row>
    <row r="3" spans="1:10" x14ac:dyDescent="0.3">
      <c r="A3" s="1">
        <v>2</v>
      </c>
      <c r="B3" s="1">
        <v>1091</v>
      </c>
      <c r="C3" s="1">
        <v>1090</v>
      </c>
      <c r="D3" s="1">
        <f>I3*H3</f>
        <v>302.39999999999998</v>
      </c>
      <c r="E3" s="1">
        <f>H3*J3</f>
        <v>242.4</v>
      </c>
      <c r="F3" s="3">
        <f>(E3*C3)/(D3*B3)</f>
        <v>0.80085257445477431</v>
      </c>
      <c r="G3" s="3">
        <f>(B3-C3)/B3</f>
        <v>9.1659028414298811E-4</v>
      </c>
      <c r="H3" s="1">
        <v>60</v>
      </c>
      <c r="I3" s="1">
        <v>5.04</v>
      </c>
      <c r="J3" s="1">
        <v>4.04</v>
      </c>
    </row>
    <row r="4" spans="1:10" x14ac:dyDescent="0.3">
      <c r="A4" s="1">
        <v>3</v>
      </c>
      <c r="B4" s="1">
        <v>1081</v>
      </c>
      <c r="C4" s="1">
        <v>1080</v>
      </c>
      <c r="D4" s="1">
        <f t="shared" ref="D4:D5" si="0">I4*H4</f>
        <v>408</v>
      </c>
      <c r="E4" s="1">
        <f t="shared" ref="E4:E9" si="1">H4*J4</f>
        <v>340.79999999999995</v>
      </c>
      <c r="F4" s="3">
        <f t="shared" ref="F4:F9" si="2">(E4*C4)/(D4*B4)</f>
        <v>0.83452141263535928</v>
      </c>
      <c r="G4" s="3">
        <f t="shared" ref="G4:G9" si="3">(B4-C4)/B4</f>
        <v>9.2506938020351531E-4</v>
      </c>
      <c r="H4" s="1">
        <v>60</v>
      </c>
      <c r="I4" s="1">
        <v>6.8</v>
      </c>
      <c r="J4" s="1">
        <v>5.68</v>
      </c>
    </row>
    <row r="5" spans="1:10" x14ac:dyDescent="0.3">
      <c r="A5" s="1">
        <v>4</v>
      </c>
      <c r="B5" s="1">
        <v>1073</v>
      </c>
      <c r="C5" s="1">
        <v>1072</v>
      </c>
      <c r="D5" s="1">
        <f t="shared" si="0"/>
        <v>495.59999999999997</v>
      </c>
      <c r="E5" s="1">
        <f t="shared" si="1"/>
        <v>425.4</v>
      </c>
      <c r="F5" s="3">
        <f t="shared" si="2"/>
        <v>0.85755355422216917</v>
      </c>
      <c r="G5" s="3">
        <f t="shared" si="3"/>
        <v>9.3196644920782849E-4</v>
      </c>
      <c r="H5" s="1">
        <v>60</v>
      </c>
      <c r="I5" s="1">
        <v>8.26</v>
      </c>
      <c r="J5" s="1">
        <v>7.09</v>
      </c>
    </row>
    <row r="6" spans="1:10" x14ac:dyDescent="0.3">
      <c r="A6" s="1">
        <v>5</v>
      </c>
      <c r="B6" s="1">
        <v>1066</v>
      </c>
      <c r="C6" s="1">
        <v>1063</v>
      </c>
      <c r="D6" s="1">
        <f t="shared" ref="D6:D7" si="4">I6*H6</f>
        <v>587.4</v>
      </c>
      <c r="E6" s="1">
        <f t="shared" si="1"/>
        <v>502.80000000000007</v>
      </c>
      <c r="F6" s="3">
        <f t="shared" si="2"/>
        <v>0.85356654855147596</v>
      </c>
      <c r="G6" s="3">
        <f t="shared" si="3"/>
        <v>2.8142589118198874E-3</v>
      </c>
      <c r="H6" s="1">
        <v>60</v>
      </c>
      <c r="I6" s="1">
        <v>9.7899999999999991</v>
      </c>
      <c r="J6" s="1">
        <v>8.3800000000000008</v>
      </c>
    </row>
    <row r="7" spans="1:10" x14ac:dyDescent="0.3">
      <c r="A7" s="1">
        <v>6</v>
      </c>
      <c r="B7" s="1">
        <v>1061</v>
      </c>
      <c r="C7" s="1">
        <v>1053</v>
      </c>
      <c r="D7" s="1">
        <f t="shared" si="4"/>
        <v>664.8</v>
      </c>
      <c r="E7" s="1">
        <f t="shared" si="1"/>
        <v>573</v>
      </c>
      <c r="F7" s="3">
        <f t="shared" si="2"/>
        <v>0.85541448194435477</v>
      </c>
      <c r="G7" s="3">
        <f t="shared" si="3"/>
        <v>7.540056550424128E-3</v>
      </c>
      <c r="H7" s="1">
        <v>60</v>
      </c>
      <c r="I7" s="1">
        <v>11.08</v>
      </c>
      <c r="J7" s="1">
        <v>9.5500000000000007</v>
      </c>
    </row>
    <row r="8" spans="1:10" x14ac:dyDescent="0.3">
      <c r="A8" s="1">
        <v>7</v>
      </c>
      <c r="B8" s="1">
        <v>1056</v>
      </c>
      <c r="C8" s="1">
        <v>1014</v>
      </c>
      <c r="D8" s="1">
        <f t="shared" ref="D8" si="5">I8*H8</f>
        <v>721.19999999999993</v>
      </c>
      <c r="E8" s="1">
        <f t="shared" si="1"/>
        <v>629.4</v>
      </c>
      <c r="F8" s="3">
        <f t="shared" si="2"/>
        <v>0.83800200423536531</v>
      </c>
      <c r="G8" s="3">
        <f t="shared" si="3"/>
        <v>3.9772727272727272E-2</v>
      </c>
      <c r="H8" s="1">
        <v>60</v>
      </c>
      <c r="I8" s="1">
        <v>12.02</v>
      </c>
      <c r="J8" s="1">
        <v>10.49</v>
      </c>
    </row>
    <row r="9" spans="1:10" x14ac:dyDescent="0.3">
      <c r="A9" s="1">
        <v>8</v>
      </c>
      <c r="B9" s="1">
        <v>1064</v>
      </c>
      <c r="C9" s="1">
        <v>600</v>
      </c>
      <c r="D9" s="1">
        <f t="shared" ref="D9" si="6">H9*I9</f>
        <v>608.40000000000009</v>
      </c>
      <c r="E9" s="1">
        <f t="shared" si="1"/>
        <v>520.20000000000005</v>
      </c>
      <c r="F9" s="3">
        <f t="shared" si="2"/>
        <v>0.48215954086399426</v>
      </c>
      <c r="G9" s="3">
        <f t="shared" si="3"/>
        <v>0.43609022556390975</v>
      </c>
      <c r="H9" s="1">
        <v>60</v>
      </c>
      <c r="I9" s="1">
        <v>10.14</v>
      </c>
      <c r="J9" s="1">
        <v>8.67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Zhouqi He</dc:creator>
  <cp:lastModifiedBy>Zhouqi He</cp:lastModifiedBy>
  <dcterms:created xsi:type="dcterms:W3CDTF">2025-11-29T05:44:56Z</dcterms:created>
  <dcterms:modified xsi:type="dcterms:W3CDTF">2025-11-29T06:12:19Z</dcterms:modified>
</cp:coreProperties>
</file>